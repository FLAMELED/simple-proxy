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1 Registro" sheetId="2" state="visible" r:id="rId2"/>
    <sheet xmlns:r="http://schemas.openxmlformats.org/officeDocument/2006/relationships" name="2 Costo" sheetId="3" state="visible" r:id="rId3"/>
    <sheet xmlns:r="http://schemas.openxmlformats.org/officeDocument/2006/relationships" name="3 Precio" sheetId="4" state="visible" r:id="rId4"/>
    <sheet xmlns:r="http://schemas.openxmlformats.org/officeDocument/2006/relationships" name="4 Equilibrio" sheetId="5" state="visible" r:id="rId5"/>
    <sheet xmlns:r="http://schemas.openxmlformats.org/officeDocument/2006/relationships" name="5 Flujo sema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Q&quot;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7B3F00"/>
      <sz val="14"/>
    </font>
    <font>
      <color rgb="00000000"/>
      <sz val="11"/>
    </font>
    <font>
      <i val="1"/>
      <color rgb="00555555"/>
    </font>
    <font>
      <b val="1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7B3F00"/>
      </patternFill>
    </fill>
    <fill>
      <patternFill patternType="solid">
        <fgColor rgb="00E3F1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2" borderId="0" pivotButton="0" quotePrefix="0" xfId="0"/>
    <xf numFmtId="0" fontId="5" fillId="3" borderId="1" applyAlignment="1" pivotButton="0" quotePrefix="0" xfId="0">
      <alignment vertical="center" wrapText="1"/>
    </xf>
    <xf numFmtId="0" fontId="0" fillId="2" borderId="1" pivotButton="0" quotePrefix="0" xfId="0"/>
    <xf numFmtId="164" fontId="0" fillId="2" borderId="1" pivotButton="0" quotePrefix="0" xfId="0"/>
    <xf numFmtId="164" fontId="0" fillId="4" borderId="1" pivotButton="0" quotePrefix="0" xfId="0"/>
    <xf numFmtId="164" fontId="4" fillId="4" borderId="0" pivotButton="0" quotePrefix="0" xfId="0"/>
    <xf numFmtId="0" fontId="6" fillId="0" borderId="0" pivotButton="0" quotePrefix="0" xfId="0"/>
    <xf numFmtId="0" fontId="4" fillId="0" borderId="1" pivotButton="0" quotePrefix="0" xfId="0"/>
    <xf numFmtId="164" fontId="4" fillId="4" borderId="1" pivotButton="0" quotePrefix="0" xfId="0"/>
    <xf numFmtId="0" fontId="0" fillId="0" borderId="1" pivotButton="0" quotePrefix="0" xfId="0"/>
    <xf numFmtId="3" fontId="0" fillId="2" borderId="1" pivotButton="0" quotePrefix="0" xfId="0"/>
    <xf numFmtId="165" fontId="0" fillId="2" borderId="1" pivotButton="0" quotePrefix="0" xfId="0"/>
    <xf numFmtId="49" fontId="0" fillId="4" borderId="1" pivotButton="0" quotePrefix="0" xfId="0"/>
    <xf numFmtId="4" fontId="0" fillId="4" borderId="1" pivotButton="0" quotePrefix="0" xfId="0"/>
    <xf numFmtId="3" fontId="4" fillId="4" borderId="1" pivotButton="0" quotePrefix="0" xfId="0"/>
    <xf numFmtId="3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Hojas de trabajo: El dinero de mi negocio</t>
        </is>
      </c>
    </row>
    <row r="2">
      <c r="A2" s="2" t="inlineStr">
        <is>
          <t>Celdas amarillas: escriba sus datos. Celdas verdes: se calculan solas.</t>
        </is>
      </c>
    </row>
    <row r="3">
      <c r="A3" s="2" t="inlineStr">
        <is>
          <t>Los datos que trae el archivo son del caso Dulce Canela (repostería, pequeño contribuyente). Reemplácelos por los suyos.</t>
        </is>
      </c>
    </row>
    <row r="4">
      <c r="A4" s="2" t="inlineStr">
        <is>
          <t>Impuestos: escriba el porcentaje que corresponde a SU régimen. Ejemplo del caso: 5 % sobre ingresos brutos (pequeño contribuyente, Ley del IVA art. 47).</t>
        </is>
      </c>
    </row>
    <row r="5">
      <c r="A5" s="2" t="inlineStr">
        <is>
          <t>Si está en el régimen general del IVA, use precios SIN IVA para costos y ventas, ponga 0 % en 'impuesto sobre la venta' y 12 % en 'IVA que se agrega al precio'.</t>
        </is>
      </c>
    </row>
    <row r="6">
      <c r="A6" s="2" t="inlineStr">
        <is>
          <t>El ISR no se suma al precio como recargo: depende de su régimen. Confirme con su contador.</t>
        </is>
      </c>
    </row>
    <row r="7">
      <c r="A7" s="2" t="inlineStr">
        <is>
          <t>Este material es de educación financiera básica y no sustituye la orientación de un contador.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8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Hoja 1. Registro diario de entradas y salidas</t>
        </is>
      </c>
    </row>
    <row r="2">
      <c r="A2" s="3" t="inlineStr">
        <is>
          <t>Tipo: V venta contado · C cobro venta anterior · I insumos · F gasto fijo · T traslado a reserva de impuestos · P pago de impuesto · R retiro personal · O otro</t>
        </is>
      </c>
    </row>
    <row r="3">
      <c r="A3" s="4" t="inlineStr">
        <is>
          <t>Saldo inicial</t>
        </is>
      </c>
      <c r="B3" s="5" t="n">
        <v>2500</v>
      </c>
    </row>
    <row r="5">
      <c r="A5" s="6" t="inlineStr">
        <is>
          <t>Fecha</t>
        </is>
      </c>
      <c r="B5" s="6" t="inlineStr">
        <is>
          <t>Concepto</t>
        </is>
      </c>
      <c r="C5" s="6" t="inlineStr">
        <is>
          <t>Tipo</t>
        </is>
      </c>
      <c r="D5" s="6" t="inlineStr">
        <is>
          <t>Entrada (Q)</t>
        </is>
      </c>
      <c r="E5" s="6" t="inlineStr">
        <is>
          <t>Salida (Q)</t>
        </is>
      </c>
      <c r="F5" s="6" t="inlineStr">
        <is>
          <t>Saldo (Q)</t>
        </is>
      </c>
    </row>
    <row r="6">
      <c r="A6" s="7" t="inlineStr">
        <is>
          <t>01/mes</t>
        </is>
      </c>
      <c r="B6" s="7" t="inlineStr">
        <is>
          <t>Ventas al contado del día</t>
        </is>
      </c>
      <c r="C6" s="7" t="inlineStr">
        <is>
          <t>V</t>
        </is>
      </c>
      <c r="D6" s="8" t="n">
        <v>640</v>
      </c>
      <c r="E6" s="8" t="n"/>
      <c r="F6" s="9">
        <f>IF(AND(D6="",E6=""),"",N($B$3)+N(D6)-N(E6))</f>
        <v/>
      </c>
    </row>
    <row r="7">
      <c r="A7" s="7" t="inlineStr">
        <is>
          <t>01/mes</t>
        </is>
      </c>
      <c r="B7" s="7" t="inlineStr">
        <is>
          <t>Pago de alquiler</t>
        </is>
      </c>
      <c r="C7" s="7" t="inlineStr">
        <is>
          <t>F</t>
        </is>
      </c>
      <c r="D7" s="8" t="n"/>
      <c r="E7" s="8" t="n">
        <v>1800</v>
      </c>
      <c r="F7" s="9">
        <f>IF(AND(D7="",E7=""),"",N(F6)+N(D7)-N(E7))</f>
        <v/>
      </c>
    </row>
    <row r="8">
      <c r="A8" s="7" t="inlineStr">
        <is>
          <t>02/mes</t>
        </is>
      </c>
      <c r="B8" s="7" t="inlineStr">
        <is>
          <t>Compra de harina, huevos y mantequilla</t>
        </is>
      </c>
      <c r="C8" s="7" t="inlineStr">
        <is>
          <t>I</t>
        </is>
      </c>
      <c r="D8" s="8" t="n"/>
      <c r="E8" s="8" t="n">
        <v>650</v>
      </c>
      <c r="F8" s="9">
        <f>IF(AND(D8="",E8=""),"",N(F7)+N(D8)-N(E8))</f>
        <v/>
      </c>
    </row>
    <row r="9">
      <c r="A9" s="7" t="inlineStr">
        <is>
          <t>03/mes</t>
        </is>
      </c>
      <c r="B9" s="7" t="inlineStr">
        <is>
          <t>Ventas al contado del día</t>
        </is>
      </c>
      <c r="C9" s="7" t="inlineStr">
        <is>
          <t>V</t>
        </is>
      </c>
      <c r="D9" s="8" t="n">
        <v>800</v>
      </c>
      <c r="E9" s="8" t="n"/>
      <c r="F9" s="9">
        <f>IF(AND(D9="",E9=""),"",N(F8)+N(D9)-N(E9))</f>
        <v/>
      </c>
    </row>
    <row r="10">
      <c r="A10" s="7" t="inlineStr">
        <is>
          <t>04/mes</t>
        </is>
      </c>
      <c r="B10" s="7" t="inlineStr">
        <is>
          <t>Traslado al sobre de impuestos</t>
        </is>
      </c>
      <c r="C10" s="7" t="inlineStr">
        <is>
          <t>T</t>
        </is>
      </c>
      <c r="D10" s="8" t="n"/>
      <c r="E10" s="8" t="n">
        <v>200</v>
      </c>
      <c r="F10" s="9">
        <f>IF(AND(D10="",E10=""),"",N(F9)+N(D10)-N(E10))</f>
        <v/>
      </c>
    </row>
    <row r="11">
      <c r="A11" s="7" t="inlineStr">
        <is>
          <t>05/mes</t>
        </is>
      </c>
      <c r="B11" s="7" t="inlineStr">
        <is>
          <t>Retiro para gastos de la casa</t>
        </is>
      </c>
      <c r="C11" s="7" t="inlineStr">
        <is>
          <t>R</t>
        </is>
      </c>
      <c r="D11" s="8" t="n"/>
      <c r="E11" s="8" t="n">
        <v>600</v>
      </c>
      <c r="F11" s="9">
        <f>IF(AND(D11="",E11=""),"",N(F10)+N(D11)-N(E11))</f>
        <v/>
      </c>
    </row>
    <row r="12">
      <c r="A12" s="7" t="n"/>
      <c r="B12" s="7" t="n"/>
      <c r="C12" s="7" t="n"/>
      <c r="D12" s="8" t="n"/>
      <c r="E12" s="8" t="n"/>
      <c r="F12" s="9">
        <f>IF(AND(D12="",E12=""),"",N(F11)+N(D12)-N(E12))</f>
        <v/>
      </c>
    </row>
    <row r="13">
      <c r="A13" s="7" t="n"/>
      <c r="B13" s="7" t="n"/>
      <c r="C13" s="7" t="n"/>
      <c r="D13" s="8" t="n"/>
      <c r="E13" s="8" t="n"/>
      <c r="F13" s="9">
        <f>IF(AND(D13="",E13=""),"",N(F12)+N(D13)-N(E13))</f>
        <v/>
      </c>
    </row>
    <row r="14">
      <c r="A14" s="7" t="n"/>
      <c r="B14" s="7" t="n"/>
      <c r="C14" s="7" t="n"/>
      <c r="D14" s="8" t="n"/>
      <c r="E14" s="8" t="n"/>
      <c r="F14" s="9">
        <f>IF(AND(D14="",E14=""),"",N(F13)+N(D14)-N(E14))</f>
        <v/>
      </c>
    </row>
    <row r="15">
      <c r="A15" s="7" t="n"/>
      <c r="B15" s="7" t="n"/>
      <c r="C15" s="7" t="n"/>
      <c r="D15" s="8" t="n"/>
      <c r="E15" s="8" t="n"/>
      <c r="F15" s="9">
        <f>IF(AND(D15="",E15=""),"",N(F14)+N(D15)-N(E15))</f>
        <v/>
      </c>
    </row>
    <row r="16">
      <c r="A16" s="7" t="n"/>
      <c r="B16" s="7" t="n"/>
      <c r="C16" s="7" t="n"/>
      <c r="D16" s="8" t="n"/>
      <c r="E16" s="8" t="n"/>
      <c r="F16" s="9">
        <f>IF(AND(D16="",E16=""),"",N(F15)+N(D16)-N(E16))</f>
        <v/>
      </c>
    </row>
    <row r="17">
      <c r="A17" s="7" t="n"/>
      <c r="B17" s="7" t="n"/>
      <c r="C17" s="7" t="n"/>
      <c r="D17" s="8" t="n"/>
      <c r="E17" s="8" t="n"/>
      <c r="F17" s="9">
        <f>IF(AND(D17="",E17=""),"",N(F16)+N(D17)-N(E17))</f>
        <v/>
      </c>
    </row>
    <row r="18">
      <c r="A18" s="7" t="n"/>
      <c r="B18" s="7" t="n"/>
      <c r="C18" s="7" t="n"/>
      <c r="D18" s="8" t="n"/>
      <c r="E18" s="8" t="n"/>
      <c r="F18" s="9">
        <f>IF(AND(D18="",E18=""),"",N(F17)+N(D18)-N(E18))</f>
        <v/>
      </c>
    </row>
    <row r="19">
      <c r="A19" s="7" t="n"/>
      <c r="B19" s="7" t="n"/>
      <c r="C19" s="7" t="n"/>
      <c r="D19" s="8" t="n"/>
      <c r="E19" s="8" t="n"/>
      <c r="F19" s="9">
        <f>IF(AND(D19="",E19=""),"",N(F18)+N(D19)-N(E19))</f>
        <v/>
      </c>
    </row>
    <row r="20">
      <c r="A20" s="7" t="n"/>
      <c r="B20" s="7" t="n"/>
      <c r="C20" s="7" t="n"/>
      <c r="D20" s="8" t="n"/>
      <c r="E20" s="8" t="n"/>
      <c r="F20" s="9">
        <f>IF(AND(D20="",E20=""),"",N(F19)+N(D20)-N(E20))</f>
        <v/>
      </c>
    </row>
    <row r="21">
      <c r="A21" s="7" t="n"/>
      <c r="B21" s="7" t="n"/>
      <c r="C21" s="7" t="n"/>
      <c r="D21" s="8" t="n"/>
      <c r="E21" s="8" t="n"/>
      <c r="F21" s="9">
        <f>IF(AND(D21="",E21=""),"",N(F20)+N(D21)-N(E21))</f>
        <v/>
      </c>
    </row>
    <row r="22">
      <c r="A22" s="7" t="n"/>
      <c r="B22" s="7" t="n"/>
      <c r="C22" s="7" t="n"/>
      <c r="D22" s="8" t="n"/>
      <c r="E22" s="8" t="n"/>
      <c r="F22" s="9">
        <f>IF(AND(D22="",E22=""),"",N(F21)+N(D22)-N(E22))</f>
        <v/>
      </c>
    </row>
    <row r="23">
      <c r="A23" s="7" t="n"/>
      <c r="B23" s="7" t="n"/>
      <c r="C23" s="7" t="n"/>
      <c r="D23" s="8" t="n"/>
      <c r="E23" s="8" t="n"/>
      <c r="F23" s="9">
        <f>IF(AND(D23="",E23=""),"",N(F22)+N(D23)-N(E23))</f>
        <v/>
      </c>
    </row>
    <row r="24">
      <c r="A24" s="7" t="n"/>
      <c r="B24" s="7" t="n"/>
      <c r="C24" s="7" t="n"/>
      <c r="D24" s="8" t="n"/>
      <c r="E24" s="8" t="n"/>
      <c r="F24" s="9">
        <f>IF(AND(D24="",E24=""),"",N(F23)+N(D24)-N(E24))</f>
        <v/>
      </c>
    </row>
    <row r="25">
      <c r="A25" s="7" t="n"/>
      <c r="B25" s="7" t="n"/>
      <c r="C25" s="7" t="n"/>
      <c r="D25" s="8" t="n"/>
      <c r="E25" s="8" t="n"/>
      <c r="F25" s="9">
        <f>IF(AND(D25="",E25=""),"",N(F24)+N(D25)-N(E25))</f>
        <v/>
      </c>
    </row>
    <row r="26">
      <c r="A26" s="7" t="n"/>
      <c r="B26" s="7" t="n"/>
      <c r="C26" s="7" t="n"/>
      <c r="D26" s="8" t="n"/>
      <c r="E26" s="8" t="n"/>
      <c r="F26" s="9">
        <f>IF(AND(D26="",E26=""),"",N(F25)+N(D26)-N(E26))</f>
        <v/>
      </c>
    </row>
    <row r="27">
      <c r="A27" s="7" t="n"/>
      <c r="B27" s="7" t="n"/>
      <c r="C27" s="7" t="n"/>
      <c r="D27" s="8" t="n"/>
      <c r="E27" s="8" t="n"/>
      <c r="F27" s="9">
        <f>IF(AND(D27="",E27=""),"",N(F26)+N(D27)-N(E27))</f>
        <v/>
      </c>
    </row>
    <row r="28">
      <c r="A28" s="7" t="n"/>
      <c r="B28" s="7" t="n"/>
      <c r="C28" s="7" t="n"/>
      <c r="D28" s="8" t="n"/>
      <c r="E28" s="8" t="n"/>
      <c r="F28" s="9">
        <f>IF(AND(D28="",E28=""),"",N(F27)+N(D28)-N(E28))</f>
        <v/>
      </c>
    </row>
    <row r="29">
      <c r="A29" s="7" t="n"/>
      <c r="B29" s="7" t="n"/>
      <c r="C29" s="7" t="n"/>
      <c r="D29" s="8" t="n"/>
      <c r="E29" s="8" t="n"/>
      <c r="F29" s="9">
        <f>IF(AND(D29="",E29=""),"",N(F28)+N(D29)-N(E29))</f>
        <v/>
      </c>
    </row>
    <row r="30">
      <c r="A30" s="7" t="n"/>
      <c r="B30" s="7" t="n"/>
      <c r="C30" s="7" t="n"/>
      <c r="D30" s="8" t="n"/>
      <c r="E30" s="8" t="n"/>
      <c r="F30" s="9">
        <f>IF(AND(D30="",E30=""),"",N(F29)+N(D30)-N(E30))</f>
        <v/>
      </c>
    </row>
    <row r="31">
      <c r="A31" s="7" t="n"/>
      <c r="B31" s="7" t="n"/>
      <c r="C31" s="7" t="n"/>
      <c r="D31" s="8" t="n"/>
      <c r="E31" s="8" t="n"/>
      <c r="F31" s="9">
        <f>IF(AND(D31="",E31=""),"",N(F30)+N(D31)-N(E31))</f>
        <v/>
      </c>
    </row>
    <row r="32">
      <c r="A32" s="7" t="n"/>
      <c r="B32" s="7" t="n"/>
      <c r="C32" s="7" t="n"/>
      <c r="D32" s="8" t="n"/>
      <c r="E32" s="8" t="n"/>
      <c r="F32" s="9">
        <f>IF(AND(D32="",E32=""),"",N(F31)+N(D32)-N(E32))</f>
        <v/>
      </c>
    </row>
    <row r="33">
      <c r="A33" s="7" t="n"/>
      <c r="B33" s="7" t="n"/>
      <c r="C33" s="7" t="n"/>
      <c r="D33" s="8" t="n"/>
      <c r="E33" s="8" t="n"/>
      <c r="F33" s="9">
        <f>IF(AND(D33="",E33=""),"",N(F32)+N(D33)-N(E33))</f>
        <v/>
      </c>
    </row>
    <row r="34">
      <c r="A34" s="7" t="n"/>
      <c r="B34" s="7" t="n"/>
      <c r="C34" s="7" t="n"/>
      <c r="D34" s="8" t="n"/>
      <c r="E34" s="8" t="n"/>
      <c r="F34" s="9">
        <f>IF(AND(D34="",E34=""),"",N(F33)+N(D34)-N(E34))</f>
        <v/>
      </c>
    </row>
    <row r="35">
      <c r="A35" s="7" t="n"/>
      <c r="B35" s="7" t="n"/>
      <c r="C35" s="7" t="n"/>
      <c r="D35" s="8" t="n"/>
      <c r="E35" s="8" t="n"/>
      <c r="F35" s="9">
        <f>IF(AND(D35="",E35=""),"",N(F34)+N(D35)-N(E35))</f>
        <v/>
      </c>
    </row>
    <row r="36">
      <c r="A36" s="7" t="n"/>
      <c r="B36" s="7" t="n"/>
      <c r="C36" s="7" t="n"/>
      <c r="D36" s="8" t="n"/>
      <c r="E36" s="8" t="n"/>
      <c r="F36" s="9">
        <f>IF(AND(D36="",E36=""),"",N(F35)+N(D36)-N(E36))</f>
        <v/>
      </c>
    </row>
    <row r="37">
      <c r="A37" s="7" t="n"/>
      <c r="B37" s="7" t="n"/>
      <c r="C37" s="7" t="n"/>
      <c r="D37" s="8" t="n"/>
      <c r="E37" s="8" t="n"/>
      <c r="F37" s="9">
        <f>IF(AND(D37="",E37=""),"",N(F36)+N(D37)-N(E37))</f>
        <v/>
      </c>
    </row>
    <row r="38">
      <c r="A38" s="7" t="n"/>
      <c r="B38" s="7" t="n"/>
      <c r="C38" s="7" t="n"/>
      <c r="D38" s="8" t="n"/>
      <c r="E38" s="8" t="n"/>
      <c r="F38" s="9">
        <f>IF(AND(D38="",E38=""),"",N(F37)+N(D38)-N(E38))</f>
        <v/>
      </c>
    </row>
    <row r="39">
      <c r="A39" s="7" t="n"/>
      <c r="B39" s="7" t="n"/>
      <c r="C39" s="7" t="n"/>
      <c r="D39" s="8" t="n"/>
      <c r="E39" s="8" t="n"/>
      <c r="F39" s="9">
        <f>IF(AND(D39="",E39=""),"",N(F38)+N(D39)-N(E39))</f>
        <v/>
      </c>
    </row>
    <row r="40">
      <c r="A40" s="7" t="n"/>
      <c r="B40" s="7" t="n"/>
      <c r="C40" s="7" t="n"/>
      <c r="D40" s="8" t="n"/>
      <c r="E40" s="8" t="n"/>
      <c r="F40" s="9">
        <f>IF(AND(D40="",E40=""),"",N(F39)+N(D40)-N(E40))</f>
        <v/>
      </c>
    </row>
    <row r="41">
      <c r="A41" s="7" t="n"/>
      <c r="B41" s="7" t="n"/>
      <c r="C41" s="7" t="n"/>
      <c r="D41" s="8" t="n"/>
      <c r="E41" s="8" t="n"/>
      <c r="F41" s="9">
        <f>IF(AND(D41="",E41=""),"",N(F40)+N(D41)-N(E41))</f>
        <v/>
      </c>
    </row>
    <row r="42">
      <c r="A42" s="7" t="n"/>
      <c r="B42" s="7" t="n"/>
      <c r="C42" s="7" t="n"/>
      <c r="D42" s="8" t="n"/>
      <c r="E42" s="8" t="n"/>
      <c r="F42" s="9">
        <f>IF(AND(D42="",E42=""),"",N(F41)+N(D42)-N(E42))</f>
        <v/>
      </c>
    </row>
    <row r="43">
      <c r="A43" s="7" t="n"/>
      <c r="B43" s="7" t="n"/>
      <c r="C43" s="7" t="n"/>
      <c r="D43" s="8" t="n"/>
      <c r="E43" s="8" t="n"/>
      <c r="F43" s="9">
        <f>IF(AND(D43="",E43=""),"",N(F42)+N(D43)-N(E43))</f>
        <v/>
      </c>
    </row>
    <row r="44">
      <c r="A44" s="7" t="n"/>
      <c r="B44" s="7" t="n"/>
      <c r="C44" s="7" t="n"/>
      <c r="D44" s="8" t="n"/>
      <c r="E44" s="8" t="n"/>
      <c r="F44" s="9">
        <f>IF(AND(D44="",E44=""),"",N(F43)+N(D44)-N(E44))</f>
        <v/>
      </c>
    </row>
    <row r="45">
      <c r="A45" s="7" t="n"/>
      <c r="B45" s="7" t="n"/>
      <c r="C45" s="7" t="n"/>
      <c r="D45" s="8" t="n"/>
      <c r="E45" s="8" t="n"/>
      <c r="F45" s="9">
        <f>IF(AND(D45="",E45=""),"",N(F44)+N(D45)-N(E45))</f>
        <v/>
      </c>
    </row>
    <row r="47">
      <c r="B47" s="4" t="inlineStr">
        <is>
          <t>Total entradas</t>
        </is>
      </c>
      <c r="D47" s="10">
        <f>SUM(D6:D45)</f>
        <v/>
      </c>
    </row>
    <row r="48">
      <c r="B48" s="4" t="inlineStr">
        <is>
          <t>Total salidas</t>
        </is>
      </c>
      <c r="D48" s="10">
        <f>SUM(E6:E45)</f>
        <v/>
      </c>
    </row>
    <row r="49">
      <c r="B49" s="4" t="inlineStr">
        <is>
          <t>De las salidas: retiros personales (R)</t>
        </is>
      </c>
      <c r="D49" s="10">
        <f>SUMIF(C6:C45,"R",E6:E45)</f>
        <v/>
      </c>
    </row>
    <row r="50">
      <c r="B50" s="4" t="inlineStr">
        <is>
          <t>De las salidas: traslados a reserva de impuestos (T)</t>
        </is>
      </c>
      <c r="D50" s="10">
        <f>SUMIF(C6:C45,"T",E6:E45)</f>
        <v/>
      </c>
    </row>
    <row r="51">
      <c r="B51" s="4" t="inlineStr">
        <is>
          <t>Saldo final</t>
        </is>
      </c>
      <c r="D51" s="10">
        <f>B3+SUM(D6:D45)-SUM(E6:E45)</f>
        <v/>
      </c>
    </row>
    <row r="53">
      <c r="B53" s="11" t="inlineStr">
        <is>
          <t>Nota: llene las filas en orden, sin dejar filas vacías en medio, para que el saldo de cada fila sea correcto.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</cols>
  <sheetData>
    <row r="1">
      <c r="A1" s="1" t="inlineStr">
        <is>
          <t>Hoja 2. Costo de mi producto o servicio</t>
        </is>
      </c>
    </row>
    <row r="2">
      <c r="A2" s="3" t="inlineStr">
        <is>
          <t>Producto del ejemplo: pastel mediano de chocolate (Dulce Canela). Valores con IVA incluido porque es pequeño contribuyente.</t>
        </is>
      </c>
    </row>
    <row r="4">
      <c r="A4" s="6" t="inlineStr">
        <is>
          <t>A. Costo variable: insumo o material</t>
        </is>
      </c>
      <c r="B4" s="6" t="inlineStr">
        <is>
          <t>Costo por unidad (Q)</t>
        </is>
      </c>
    </row>
    <row r="5">
      <c r="A5" s="7" t="inlineStr">
        <is>
          <t>Harina</t>
        </is>
      </c>
      <c r="B5" s="8" t="n">
        <v>6</v>
      </c>
    </row>
    <row r="6">
      <c r="A6" s="7" t="inlineStr">
        <is>
          <t>Azúcar</t>
        </is>
      </c>
      <c r="B6" s="8" t="n">
        <v>5</v>
      </c>
    </row>
    <row r="7">
      <c r="A7" s="7" t="inlineStr">
        <is>
          <t>Huevos</t>
        </is>
      </c>
      <c r="B7" s="8" t="n">
        <v>9</v>
      </c>
    </row>
    <row r="8">
      <c r="A8" s="7" t="inlineStr">
        <is>
          <t>Mantequilla</t>
        </is>
      </c>
      <c r="B8" s="8" t="n">
        <v>10</v>
      </c>
    </row>
    <row r="9">
      <c r="A9" s="7" t="inlineStr">
        <is>
          <t>Chocolate y cacao</t>
        </is>
      </c>
      <c r="B9" s="8" t="n">
        <v>10</v>
      </c>
    </row>
    <row r="10">
      <c r="A10" s="7" t="inlineStr">
        <is>
          <t>Leche y otros</t>
        </is>
      </c>
      <c r="B10" s="8" t="n">
        <v>2</v>
      </c>
    </row>
    <row r="11">
      <c r="A11" s="7" t="inlineStr">
        <is>
          <t>Caja y base de cartón</t>
        </is>
      </c>
      <c r="B11" s="8" t="n">
        <v>6</v>
      </c>
    </row>
    <row r="12">
      <c r="A12" s="7" t="inlineStr">
        <is>
          <t>Gas del horno</t>
        </is>
      </c>
      <c r="B12" s="8" t="n">
        <v>4</v>
      </c>
    </row>
    <row r="13">
      <c r="A13" s="7" t="inlineStr"/>
      <c r="B13" s="8" t="n"/>
    </row>
    <row r="14">
      <c r="A14" s="7" t="inlineStr"/>
      <c r="B14" s="8" t="n"/>
    </row>
    <row r="15">
      <c r="A15" s="12" t="inlineStr">
        <is>
          <t>Costo variable por unidad (A)</t>
        </is>
      </c>
      <c r="B15" s="13">
        <f>SUM(B5:B14)</f>
        <v/>
      </c>
    </row>
    <row r="17">
      <c r="A17" s="6" t="inlineStr">
        <is>
          <t>B. Costos fijos del mes</t>
        </is>
      </c>
      <c r="B17" s="6" t="inlineStr">
        <is>
          <t>Q al mes</t>
        </is>
      </c>
    </row>
    <row r="18">
      <c r="A18" s="7" t="inlineStr">
        <is>
          <t>Alquiler</t>
        </is>
      </c>
      <c r="B18" s="8" t="n">
        <v>1800</v>
      </c>
    </row>
    <row r="19">
      <c r="A19" s="7" t="inlineStr">
        <is>
          <t>Ayudante</t>
        </is>
      </c>
      <c r="B19" s="8" t="n">
        <v>1200</v>
      </c>
    </row>
    <row r="20">
      <c r="A20" s="7" t="inlineStr">
        <is>
          <t>Luz y agua</t>
        </is>
      </c>
      <c r="B20" s="8" t="n">
        <v>400</v>
      </c>
    </row>
    <row r="21">
      <c r="A21" s="7" t="inlineStr">
        <is>
          <t>Internet y teléfono</t>
        </is>
      </c>
      <c r="B21" s="8" t="n">
        <v>250</v>
      </c>
    </row>
    <row r="22">
      <c r="A22" s="7" t="inlineStr">
        <is>
          <t>Publicidad</t>
        </is>
      </c>
      <c r="B22" s="8" t="n">
        <v>350</v>
      </c>
    </row>
    <row r="23">
      <c r="A23" s="7" t="inlineStr">
        <is>
          <t>Ahorro para reponer equipo</t>
        </is>
      </c>
      <c r="B23" s="8" t="n">
        <v>300</v>
      </c>
    </row>
    <row r="24">
      <c r="A24" s="7" t="inlineStr">
        <is>
          <t>Sueldo del dueño</t>
        </is>
      </c>
      <c r="B24" s="8" t="n">
        <v>2700</v>
      </c>
    </row>
    <row r="25">
      <c r="A25" s="7" t="inlineStr">
        <is>
          <t>Otros</t>
        </is>
      </c>
      <c r="B25" s="8" t="n"/>
    </row>
    <row r="26">
      <c r="A26" s="12" t="inlineStr">
        <is>
          <t>Total costos fijos (B)</t>
        </is>
      </c>
      <c r="B26" s="13">
        <f>SUM(B18:B25)</f>
        <v/>
      </c>
    </row>
    <row r="28">
      <c r="A28" s="14" t="inlineStr">
        <is>
          <t>Unidades que vendo al mes (C)</t>
        </is>
      </c>
      <c r="B28" s="15" t="n">
        <v>100</v>
      </c>
    </row>
    <row r="29">
      <c r="A29" s="14" t="inlineStr">
        <is>
          <t>Costo fijo por unidad = B ÷ C</t>
        </is>
      </c>
      <c r="B29" s="9">
        <f>IF(B28&gt;0,B26/B28,0)</f>
        <v/>
      </c>
    </row>
    <row r="30">
      <c r="A30" s="12" t="inlineStr">
        <is>
          <t>Costo total por unidad = A + B ÷ C</t>
        </is>
      </c>
      <c r="B30" s="13">
        <f>B15+B29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8" customWidth="1" min="1" max="1"/>
    <col width="20" customWidth="1" min="2" max="2"/>
  </cols>
  <sheetData>
    <row r="1">
      <c r="A1" s="1" t="inlineStr">
        <is>
          <t>Hoja 3. Revisión de mi precio</t>
        </is>
      </c>
    </row>
    <row r="2">
      <c r="A2" s="3" t="inlineStr">
        <is>
          <t>Pequeño contribuyente: impuesto sobre la venta 5 %, IVA agregado 0 %. Régimen general: impuesto sobre la venta 0 %, IVA agregado 12 % (costos sin IVA).</t>
        </is>
      </c>
    </row>
    <row r="4">
      <c r="A4" s="14" t="inlineStr">
        <is>
          <t>Costo variable por unidad</t>
        </is>
      </c>
      <c r="B4" s="9">
        <f>'2 Costo'!B15</f>
        <v/>
      </c>
    </row>
    <row r="5">
      <c r="A5" s="14" t="inlineStr">
        <is>
          <t>Costo fijo por unidad</t>
        </is>
      </c>
      <c r="B5" s="9">
        <f>'2 Costo'!B29</f>
        <v/>
      </c>
    </row>
    <row r="6">
      <c r="A6" s="12" t="inlineStr">
        <is>
          <t>Costo total por unidad</t>
        </is>
      </c>
      <c r="B6" s="13">
        <f>B4+B5</f>
        <v/>
      </c>
    </row>
    <row r="7">
      <c r="A7" s="14" t="inlineStr">
        <is>
          <t>Ganancia que quiero por unidad</t>
        </is>
      </c>
      <c r="B7" s="8" t="n">
        <v>30</v>
      </c>
    </row>
    <row r="8">
      <c r="A8" s="14" t="inlineStr">
        <is>
          <t>% impuesto sobre la venta que paga el negocio (según su régimen)</t>
        </is>
      </c>
      <c r="B8" s="16" t="n">
        <v>0.05</v>
      </c>
    </row>
    <row r="9">
      <c r="A9" s="14" t="inlineStr">
        <is>
          <t>% IVA que se agrega al precio del cliente (régimen general)</t>
        </is>
      </c>
      <c r="B9" s="16" t="n">
        <v>0</v>
      </c>
    </row>
    <row r="10">
      <c r="A10" s="14" t="inlineStr">
        <is>
          <t>Precio sugerido antes de IVA agregado = (costo total + ganancia) ÷ (1 − impuesto)</t>
        </is>
      </c>
      <c r="B10" s="9">
        <f>(B6+B7)/(1-B8)</f>
        <v/>
      </c>
    </row>
    <row r="11">
      <c r="A11" s="12" t="inlineStr">
        <is>
          <t>PRECIO SUGERIDO AL CLIENTE</t>
        </is>
      </c>
      <c r="B11" s="13">
        <f>B10*(1+B9)</f>
        <v/>
      </c>
    </row>
    <row r="12">
      <c r="A12" s="14" t="inlineStr">
        <is>
          <t>IVA incluido en ese precio (no es ingreso del negocio)</t>
        </is>
      </c>
      <c r="B12" s="9">
        <f>B10*B9</f>
        <v/>
      </c>
    </row>
    <row r="14">
      <c r="A14" s="14" t="inlineStr">
        <is>
          <t>Mi precio actual al cliente</t>
        </is>
      </c>
      <c r="B14" s="8" t="n">
        <v>160</v>
      </c>
    </row>
    <row r="15">
      <c r="A15" s="14" t="inlineStr">
        <is>
          <t>Precio actual sin IVA agregado</t>
        </is>
      </c>
      <c r="B15" s="9">
        <f>B14/(1+B9)</f>
        <v/>
      </c>
    </row>
    <row r="16">
      <c r="A16" s="14" t="inlineStr">
        <is>
          <t>Impuesto sobre la venta de mi precio actual</t>
        </is>
      </c>
      <c r="B16" s="9">
        <f>B15*B8</f>
        <v/>
      </c>
    </row>
    <row r="17">
      <c r="A17" s="12" t="inlineStr">
        <is>
          <t>Margen de contribución por unidad = precio sin IVA − impuesto − costo variable</t>
        </is>
      </c>
      <c r="B17" s="13">
        <f>B15-B16-B4</f>
        <v/>
      </c>
    </row>
    <row r="18">
      <c r="A18" s="14" t="inlineStr">
        <is>
          <t>Ganancia por unidad (con las unidades de la Hoja 2)</t>
        </is>
      </c>
      <c r="B18" s="9">
        <f>B17-B5</f>
        <v/>
      </c>
    </row>
    <row r="19">
      <c r="A19" s="14" t="inlineStr">
        <is>
          <t>¿Mi precio cubre el sugerido?</t>
        </is>
      </c>
      <c r="B19" s="17">
        <f>IF(B14&gt;=B11-0.005,"Sí","No: revise costos o precio")</f>
        <v/>
      </c>
    </row>
    <row r="21">
      <c r="A21" s="11" t="inlineStr">
        <is>
          <t>El ISR no se suma aquí como recargo. Verifique que la ganancia elegida alcance para el ISR que corresponda a su régimen.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6" customWidth="1" min="1" max="1"/>
    <col width="20" customWidth="1" min="2" max="2"/>
  </cols>
  <sheetData>
    <row r="1">
      <c r="A1" s="1" t="inlineStr">
        <is>
          <t>Hoja 4. Mi punto de equilibrio</t>
        </is>
      </c>
    </row>
    <row r="2">
      <c r="A2" s="3" t="inlineStr">
        <is>
          <t>Forma 1 toma los datos de las hojas 2 y 3. Forma 2 sirve si vende muchos productos.</t>
        </is>
      </c>
    </row>
    <row r="4">
      <c r="A4" s="4" t="inlineStr">
        <is>
          <t>Forma 1: un producto principal</t>
        </is>
      </c>
    </row>
    <row r="5">
      <c r="A5" s="14" t="inlineStr">
        <is>
          <t>Costos fijos del mes</t>
        </is>
      </c>
      <c r="B5" s="9">
        <f>'2 Costo'!B26</f>
        <v/>
      </c>
    </row>
    <row r="6">
      <c r="A6" s="14" t="inlineStr">
        <is>
          <t>Margen de contribución por unidad</t>
        </is>
      </c>
      <c r="B6" s="9">
        <f>'3 Precio'!B17</f>
        <v/>
      </c>
    </row>
    <row r="7">
      <c r="A7" s="14" t="inlineStr">
        <is>
          <t>Punto de equilibrio (exacto)</t>
        </is>
      </c>
      <c r="B7" s="18">
        <f>IF(B6&gt;0,B5/B6,0)</f>
        <v/>
      </c>
    </row>
    <row r="8">
      <c r="A8" s="12" t="inlineStr">
        <is>
          <t>Punto de equilibrio en unidades (redondeado hacia arriba)</t>
        </is>
      </c>
      <c r="B8" s="19">
        <f>ROUNDUP(B7,0)</f>
        <v/>
      </c>
    </row>
    <row r="9">
      <c r="A9" s="14" t="inlineStr">
        <is>
          <t>Punto de equilibrio en quetzales (unidades × precio al cliente)</t>
        </is>
      </c>
      <c r="B9" s="9">
        <f>B8*'3 Precio'!B14</f>
        <v/>
      </c>
    </row>
    <row r="10">
      <c r="A10" s="14" t="inlineStr">
        <is>
          <t>Unidades por semana (÷ 4)</t>
        </is>
      </c>
      <c r="B10" s="20">
        <f>ROUNDUP(B8/4,0)</f>
        <v/>
      </c>
    </row>
    <row r="12">
      <c r="A12" s="4" t="inlineStr">
        <is>
          <t>Forma 2: muchos productos</t>
        </is>
      </c>
    </row>
    <row r="13">
      <c r="A13" s="14" t="inlineStr">
        <is>
          <t>Ventas del mes (sin IVA agregado)</t>
        </is>
      </c>
      <c r="B13" s="8" t="n">
        <v>16000</v>
      </c>
    </row>
    <row r="14">
      <c r="A14" s="14" t="inlineStr">
        <is>
          <t>Impuesto sobre ventas del mes (si aplica)</t>
        </is>
      </c>
      <c r="B14" s="8" t="n">
        <v>800</v>
      </c>
    </row>
    <row r="15">
      <c r="A15" s="14" t="inlineStr">
        <is>
          <t>Costos variables del mes</t>
        </is>
      </c>
      <c r="B15" s="8" t="n">
        <v>5200</v>
      </c>
    </row>
    <row r="16">
      <c r="A16" s="14" t="inlineStr">
        <is>
          <t>Margen de contribución del mes</t>
        </is>
      </c>
      <c r="B16" s="9">
        <f>B13-B14-B15</f>
        <v/>
      </c>
    </row>
    <row r="17">
      <c r="A17" s="14" t="inlineStr">
        <is>
          <t>% de margen = margen ÷ ventas</t>
        </is>
      </c>
      <c r="B17" s="21">
        <f>IF(B13&gt;0,B16/B13,0)</f>
        <v/>
      </c>
    </row>
    <row r="18">
      <c r="A18" s="14" t="inlineStr">
        <is>
          <t>Costos fijos del mes</t>
        </is>
      </c>
      <c r="B18" s="8" t="n">
        <v>7000</v>
      </c>
    </row>
    <row r="19">
      <c r="A19" s="12" t="inlineStr">
        <is>
          <t>Ventas de equilibrio = costos fijos ÷ % de margen</t>
        </is>
      </c>
      <c r="B19" s="13">
        <f>IF(B17&gt;0,B18/B17,0)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Hoja 5. Plan semanal de efectivo</t>
        </is>
      </c>
    </row>
    <row r="2">
      <c r="A2" s="3" t="inlineStr">
        <is>
          <t>Ejemplo: Dulce Canela. Saldo final = saldo inicial + entradas − salidas. La reserva de impuestos no se usa para cubrir faltantes.</t>
        </is>
      </c>
    </row>
    <row r="4">
      <c r="A4" s="6" t="inlineStr">
        <is>
          <t>Concepto</t>
        </is>
      </c>
      <c r="B4" s="6" t="inlineStr">
        <is>
          <t>Semana 1</t>
        </is>
      </c>
      <c r="C4" s="6" t="inlineStr">
        <is>
          <t>Semana 2</t>
        </is>
      </c>
      <c r="D4" s="6" t="inlineStr">
        <is>
          <t>Semana 3</t>
        </is>
      </c>
      <c r="E4" s="6" t="inlineStr">
        <is>
          <t>Semana 4</t>
        </is>
      </c>
    </row>
    <row r="5">
      <c r="A5" s="14" t="inlineStr">
        <is>
          <t>Saldo inicial</t>
        </is>
      </c>
      <c r="B5" s="8" t="n">
        <v>2500</v>
      </c>
      <c r="C5" s="9">
        <f>B20</f>
        <v/>
      </c>
      <c r="D5" s="9">
        <f>C20</f>
        <v/>
      </c>
      <c r="E5" s="9">
        <f>D20</f>
        <v/>
      </c>
    </row>
    <row r="6">
      <c r="A6" s="14" t="inlineStr">
        <is>
          <t>Cobros al contado</t>
        </is>
      </c>
      <c r="B6" s="8" t="n">
        <v>3200</v>
      </c>
      <c r="C6" s="8" t="n">
        <v>3200</v>
      </c>
      <c r="D6" s="8" t="n">
        <v>3200</v>
      </c>
      <c r="E6" s="8" t="n">
        <v>3200</v>
      </c>
    </row>
    <row r="7">
      <c r="A7" s="14" t="inlineStr">
        <is>
          <t>Cobros de ventas al crédito</t>
        </is>
      </c>
      <c r="B7" s="8" t="n">
        <v>0</v>
      </c>
      <c r="C7" s="8" t="n">
        <v>3200</v>
      </c>
      <c r="D7" s="8" t="n">
        <v>0</v>
      </c>
      <c r="E7" s="8" t="n">
        <v>0</v>
      </c>
    </row>
    <row r="8">
      <c r="A8" s="14" t="inlineStr">
        <is>
          <t>Otras entradas (préstamo, aporte)</t>
        </is>
      </c>
      <c r="B8" s="8" t="n">
        <v>0</v>
      </c>
      <c r="C8" s="8" t="n">
        <v>0</v>
      </c>
      <c r="D8" s="8" t="n">
        <v>0</v>
      </c>
      <c r="E8" s="8" t="n">
        <v>0</v>
      </c>
    </row>
    <row r="9">
      <c r="A9" s="12" t="inlineStr">
        <is>
          <t>Total entradas</t>
        </is>
      </c>
      <c r="B9" s="13">
        <f>SUM(B6:B8)</f>
        <v/>
      </c>
      <c r="C9" s="13">
        <f>SUM(C6:C8)</f>
        <v/>
      </c>
      <c r="D9" s="13">
        <f>SUM(D6:D8)</f>
        <v/>
      </c>
      <c r="E9" s="13">
        <f>SUM(E6:E8)</f>
        <v/>
      </c>
    </row>
    <row r="10">
      <c r="A10" s="14" t="inlineStr">
        <is>
          <t>Insumos</t>
        </is>
      </c>
      <c r="B10" s="8" t="n">
        <v>1300</v>
      </c>
      <c r="C10" s="8" t="n">
        <v>1300</v>
      </c>
      <c r="D10" s="8" t="n">
        <v>1300</v>
      </c>
      <c r="E10" s="8" t="n">
        <v>1300</v>
      </c>
    </row>
    <row r="11">
      <c r="A11" s="14" t="inlineStr">
        <is>
          <t>Alquiler</t>
        </is>
      </c>
      <c r="B11" s="8" t="n">
        <v>1800</v>
      </c>
      <c r="C11" s="8" t="n">
        <v>0</v>
      </c>
      <c r="D11" s="8" t="n">
        <v>0</v>
      </c>
      <c r="E11" s="8" t="n">
        <v>0</v>
      </c>
    </row>
    <row r="12">
      <c r="A12" s="14" t="inlineStr">
        <is>
          <t>Sueldos y pagos a ayudantes</t>
        </is>
      </c>
      <c r="B12" s="8" t="n">
        <v>300</v>
      </c>
      <c r="C12" s="8" t="n">
        <v>300</v>
      </c>
      <c r="D12" s="8" t="n">
        <v>300</v>
      </c>
      <c r="E12" s="8" t="n">
        <v>300</v>
      </c>
    </row>
    <row r="13">
      <c r="A13" s="14" t="inlineStr">
        <is>
          <t>Servicios (luz, agua, internet)</t>
        </is>
      </c>
      <c r="B13" s="8" t="n">
        <v>0</v>
      </c>
      <c r="C13" s="8" t="n">
        <v>250</v>
      </c>
      <c r="D13" s="8" t="n">
        <v>400</v>
      </c>
      <c r="E13" s="8" t="n">
        <v>0</v>
      </c>
    </row>
    <row r="14">
      <c r="A14" s="14" t="inlineStr">
        <is>
          <t>Publicidad y otros gastos</t>
        </is>
      </c>
      <c r="B14" s="8" t="n">
        <v>350</v>
      </c>
      <c r="C14" s="8" t="n">
        <v>0</v>
      </c>
      <c r="D14" s="8" t="n">
        <v>0</v>
      </c>
      <c r="E14" s="8" t="n">
        <v>0</v>
      </c>
    </row>
    <row r="15">
      <c r="A15" s="14" t="inlineStr">
        <is>
          <t>Cuotas de préstamos</t>
        </is>
      </c>
      <c r="B15" s="8" t="n">
        <v>0</v>
      </c>
      <c r="C15" s="8" t="n">
        <v>0</v>
      </c>
      <c r="D15" s="8" t="n">
        <v>0</v>
      </c>
      <c r="E15" s="8" t="n">
        <v>0</v>
      </c>
    </row>
    <row r="16">
      <c r="A16" s="14" t="inlineStr">
        <is>
          <t>Mi sueldo (retiro del dueño)</t>
        </is>
      </c>
      <c r="B16" s="8" t="n">
        <v>0</v>
      </c>
      <c r="C16" s="8" t="n">
        <v>1350</v>
      </c>
      <c r="D16" s="8" t="n">
        <v>0</v>
      </c>
      <c r="E16" s="8" t="n">
        <v>1350</v>
      </c>
    </row>
    <row r="17">
      <c r="A17" s="14" t="inlineStr">
        <is>
          <t>Ahorro para equipo o imprevistos</t>
        </is>
      </c>
      <c r="B17" s="8" t="n">
        <v>0</v>
      </c>
      <c r="C17" s="8" t="n">
        <v>0</v>
      </c>
      <c r="D17" s="8" t="n">
        <v>0</v>
      </c>
      <c r="E17" s="8" t="n">
        <v>300</v>
      </c>
    </row>
    <row r="18">
      <c r="A18" s="14" t="inlineStr">
        <is>
          <t>Traslado a reserva de impuestos</t>
        </is>
      </c>
      <c r="B18" s="8" t="n">
        <v>200</v>
      </c>
      <c r="C18" s="8" t="n">
        <v>200</v>
      </c>
      <c r="D18" s="8" t="n">
        <v>200</v>
      </c>
      <c r="E18" s="8" t="n">
        <v>200</v>
      </c>
    </row>
    <row r="19">
      <c r="A19" s="12" t="inlineStr">
        <is>
          <t>Total salidas</t>
        </is>
      </c>
      <c r="B19" s="13">
        <f>SUM(B10:B18)</f>
        <v/>
      </c>
      <c r="C19" s="13">
        <f>SUM(C10:C18)</f>
        <v/>
      </c>
      <c r="D19" s="13">
        <f>SUM(D10:D18)</f>
        <v/>
      </c>
      <c r="E19" s="13">
        <f>SUM(E10:E18)</f>
        <v/>
      </c>
    </row>
    <row r="20">
      <c r="A20" s="12" t="inlineStr">
        <is>
          <t>Saldo final</t>
        </is>
      </c>
      <c r="B20" s="13">
        <f>B5+B9-B19</f>
        <v/>
      </c>
      <c r="C20" s="13">
        <f>C5+C9-C19</f>
        <v/>
      </c>
      <c r="D20" s="13">
        <f>D5+D9-D19</f>
        <v/>
      </c>
      <c r="E20" s="13">
        <f>E5+E9-E19</f>
        <v/>
      </c>
    </row>
    <row r="22">
      <c r="A22" s="4" t="inlineStr">
        <is>
          <t>Alerta</t>
        </is>
      </c>
      <c r="B22">
        <f>IF(B20&lt;0,"¡FALTANTE!","OK")</f>
        <v/>
      </c>
      <c r="C22">
        <f>IF(C20&lt;0,"¡FALTANTE!","OK")</f>
        <v/>
      </c>
      <c r="D22">
        <f>IF(D20&lt;0,"¡FALTANTE!","OK")</f>
        <v/>
      </c>
      <c r="E22">
        <f>IF(E20&lt;0,"¡FALTANTE!","OK")</f>
        <v/>
      </c>
    </row>
    <row r="24">
      <c r="A24" s="4" t="inlineStr">
        <is>
          <t>Reserva de impuestos</t>
        </is>
      </c>
    </row>
    <row r="25">
      <c r="A25" s="6" t="inlineStr">
        <is>
          <t>Concepto</t>
        </is>
      </c>
      <c r="B25" s="6" t="inlineStr">
        <is>
          <t>Semana 1</t>
        </is>
      </c>
      <c r="C25" s="6" t="inlineStr">
        <is>
          <t>Semana 2</t>
        </is>
      </c>
      <c r="D25" s="6" t="inlineStr">
        <is>
          <t>Semana 3</t>
        </is>
      </c>
      <c r="E25" s="6" t="inlineStr">
        <is>
          <t>Semana 4</t>
        </is>
      </c>
    </row>
    <row r="26">
      <c r="A26" s="14" t="inlineStr">
        <is>
          <t>Saldo inicial de la reserva</t>
        </is>
      </c>
      <c r="B26" s="8" t="n">
        <v>800</v>
      </c>
      <c r="C26" s="9">
        <f>B29</f>
        <v/>
      </c>
      <c r="D26" s="9">
        <f>C29</f>
        <v/>
      </c>
      <c r="E26" s="9">
        <f>D29</f>
        <v/>
      </c>
    </row>
    <row r="27">
      <c r="A27" s="14" t="inlineStr">
        <is>
          <t>(+) Traslado de la semana</t>
        </is>
      </c>
      <c r="B27" s="9">
        <f>B18</f>
        <v/>
      </c>
      <c r="C27" s="9">
        <f>C18</f>
        <v/>
      </c>
      <c r="D27" s="9">
        <f>D18</f>
        <v/>
      </c>
      <c r="E27" s="9">
        <f>E18</f>
        <v/>
      </c>
    </row>
    <row r="28">
      <c r="A28" s="14" t="inlineStr">
        <is>
          <t>(−) Pago a la SAT</t>
        </is>
      </c>
      <c r="B28" s="8" t="n">
        <v>0</v>
      </c>
      <c r="C28" s="8" t="n">
        <v>800</v>
      </c>
      <c r="D28" s="8" t="n">
        <v>0</v>
      </c>
      <c r="E28" s="8" t="n">
        <v>0</v>
      </c>
    </row>
    <row r="29">
      <c r="A29" s="14" t="inlineStr">
        <is>
          <t>Saldo final de la reserva</t>
        </is>
      </c>
      <c r="B29" s="13">
        <f>B26+B27-B28</f>
        <v/>
      </c>
      <c r="C29" s="13">
        <f>C26+C27-C28</f>
        <v/>
      </c>
      <c r="D29" s="13">
        <f>D26+D27-D28</f>
        <v/>
      </c>
      <c r="E29" s="13">
        <f>E26+E27-E28</f>
        <v/>
      </c>
    </row>
    <row r="31">
      <c r="A31" s="11" t="inlineStr">
        <is>
          <t>Ejemplo: el impuesto del mes anterior (Q800) se paga con la reserva, no con el efectivo de operación.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2026-10-15T19:08:40Z</dcterms:created>
  <dcterms:modified xmlns:dcterms="http://purl.org/dc/terms/" xmlns:xsi="http://www.w3.org/2001/XMLSchema-instance" xsi:type="dcterms:W3CDTF">2026-10-15T19:08:40Z</dcterms:modified>
</cp:coreProperties>
</file>